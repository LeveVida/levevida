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EMERSON\TURISMO - CARTÕES SALA VIP DICAS DE VIAGEM\"/>
    </mc:Choice>
  </mc:AlternateContent>
  <xr:revisionPtr revIDLastSave="0" documentId="13_ncr:1_{7ABB1E77-B976-452A-B46F-67215CAA4213}" xr6:coauthVersionLast="47" xr6:coauthVersionMax="47" xr10:uidLastSave="{00000000-0000-0000-0000-000000000000}"/>
  <bookViews>
    <workbookView xWindow="-120" yWindow="-120" windowWidth="29040" windowHeight="15840" xr2:uid="{7F21CE45-1B28-4DC5-93B1-FF6ACCDE54C6}"/>
  </bookViews>
  <sheets>
    <sheet name="Compra Bonificada" sheetId="4" r:id="rId1"/>
    <sheet name="Dado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4" l="1"/>
  <c r="H23" i="4"/>
  <c r="H28" i="4"/>
  <c r="J28" i="4"/>
  <c r="J27" i="4"/>
  <c r="H27" i="4"/>
  <c r="J29" i="4"/>
  <c r="H29" i="4"/>
  <c r="J26" i="4"/>
  <c r="H26" i="4"/>
  <c r="J25" i="4"/>
  <c r="H25" i="4"/>
  <c r="J24" i="4"/>
  <c r="H24" i="4"/>
  <c r="J22" i="4"/>
  <c r="H22" i="4"/>
  <c r="J18" i="4"/>
  <c r="H18" i="4"/>
  <c r="J17" i="4"/>
  <c r="H17" i="4"/>
  <c r="J16" i="4"/>
  <c r="H16" i="4"/>
  <c r="J15" i="4"/>
  <c r="H15" i="4"/>
  <c r="J7" i="4"/>
  <c r="H7" i="4"/>
  <c r="J8" i="4"/>
  <c r="H8" i="4"/>
  <c r="J4" i="4"/>
  <c r="H4" i="4"/>
  <c r="J6" i="4"/>
  <c r="H6" i="4"/>
  <c r="J5" i="4"/>
  <c r="H5" i="4"/>
  <c r="J3" i="4"/>
  <c r="H3" i="4"/>
  <c r="J14" i="4"/>
  <c r="H14" i="4"/>
  <c r="J19" i="4"/>
  <c r="H19" i="4"/>
  <c r="J21" i="4"/>
  <c r="H21" i="4"/>
  <c r="J13" i="4"/>
  <c r="H13" i="4"/>
  <c r="J12" i="4"/>
  <c r="H12" i="4"/>
  <c r="J20" i="4"/>
  <c r="H20" i="4"/>
  <c r="J11" i="4"/>
  <c r="H11" i="4"/>
  <c r="J10" i="4"/>
  <c r="H10" i="4"/>
  <c r="J9" i="4"/>
  <c r="H9" i="4"/>
  <c r="B3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Figueiredo de Mattos</author>
  </authors>
  <commentList>
    <comment ref="C2" authorId="0" shapeId="0" xr:uid="{E4332BC6-B13A-4DC5-804E-49E18737E0C4}">
      <text>
        <r>
          <rPr>
            <b/>
            <sz val="9"/>
            <color indexed="81"/>
            <rFont val="Segoe UI"/>
            <family val="2"/>
          </rPr>
          <t>Informe o Clube de Fidelidade parceiro.</t>
        </r>
      </text>
    </comment>
    <comment ref="D2" authorId="0" shapeId="0" xr:uid="{39771A70-7EC4-4351-B65A-6E1D459AE483}">
      <text>
        <r>
          <rPr>
            <b/>
            <sz val="12"/>
            <color indexed="81"/>
            <rFont val="Segoe UI"/>
            <family val="2"/>
          </rPr>
          <t>Insira a Data do Pedido</t>
        </r>
      </text>
    </comment>
    <comment ref="E2" authorId="0" shapeId="0" xr:uid="{9142E554-8381-4C07-8709-A22D789D3705}">
      <text>
        <r>
          <rPr>
            <b/>
            <sz val="9"/>
            <color indexed="81"/>
            <rFont val="Segoe UI"/>
            <family val="2"/>
          </rPr>
          <t>Informe os pontos por R$ (Real) gasto, de acordo com a promoção da loja parceira.</t>
        </r>
      </text>
    </comment>
    <comment ref="I2" authorId="0" shapeId="0" xr:uid="{A1152506-B52F-4D04-89B7-C799CED86AA9}">
      <text>
        <r>
          <rPr>
            <sz val="9"/>
            <color indexed="81"/>
            <rFont val="Segoe UI"/>
            <family val="2"/>
          </rPr>
          <t>Informe o prazo para recebimento dos pontos.</t>
        </r>
        <r>
          <rPr>
            <b/>
            <sz val="9"/>
            <color indexed="81"/>
            <rFont val="Segoe UI"/>
            <family val="2"/>
          </rPr>
          <t xml:space="preserve"> 
Leia as regras da promoção.</t>
        </r>
      </text>
    </comment>
    <comment ref="J2" authorId="0" shapeId="0" xr:uid="{777E299D-BBE5-4956-B4D1-8F8A1CDD6BA4}">
      <text>
        <r>
          <rPr>
            <b/>
            <sz val="9"/>
            <color indexed="81"/>
            <rFont val="Segoe UI"/>
            <family val="2"/>
          </rPr>
          <t>Data prevista para recebimento dos pontos.</t>
        </r>
      </text>
    </comment>
  </commentList>
</comments>
</file>

<file path=xl/sharedStrings.xml><?xml version="1.0" encoding="utf-8"?>
<sst xmlns="http://schemas.openxmlformats.org/spreadsheetml/2006/main" count="101" uniqueCount="51">
  <si>
    <t>LOJA ONLINE</t>
  </si>
  <si>
    <t>PRODUTO</t>
  </si>
  <si>
    <t>PARCEIRO</t>
  </si>
  <si>
    <t>DATA DO PEDIDO</t>
  </si>
  <si>
    <t>Bonificação (pontos p/ Real)</t>
  </si>
  <si>
    <t>VALOR GASTO</t>
  </si>
  <si>
    <t>PONTOS GERADOS</t>
  </si>
  <si>
    <t>PRAZO PARA RECEBER (DIAS)</t>
  </si>
  <si>
    <t>DATA PREVISTA</t>
  </si>
  <si>
    <t>STATUS</t>
  </si>
  <si>
    <t>LIVELO</t>
  </si>
  <si>
    <t>A RECEBER</t>
  </si>
  <si>
    <t>Fralda</t>
  </si>
  <si>
    <t>RECEBIDO</t>
  </si>
  <si>
    <t>Seguro viagem</t>
  </si>
  <si>
    <t>Tênis</t>
  </si>
  <si>
    <t>Maquiagem</t>
  </si>
  <si>
    <t>Hoteis.com</t>
  </si>
  <si>
    <t>Farmácias App</t>
  </si>
  <si>
    <t>Hospedagem Fortaleza</t>
  </si>
  <si>
    <t>Magalu</t>
  </si>
  <si>
    <t>Oceane</t>
  </si>
  <si>
    <t>Reserva</t>
  </si>
  <si>
    <t>Allianz</t>
  </si>
  <si>
    <t>Beleza na Web</t>
  </si>
  <si>
    <t>Natura</t>
  </si>
  <si>
    <t>Shampoo Baby</t>
  </si>
  <si>
    <t>Ponto</t>
  </si>
  <si>
    <t>Insider Store</t>
  </si>
  <si>
    <t>Camiseta</t>
  </si>
  <si>
    <t>Toleriane</t>
  </si>
  <si>
    <t>Tudo Azul</t>
  </si>
  <si>
    <t>Bepantol Baby 120g</t>
  </si>
  <si>
    <t>Amazon</t>
  </si>
  <si>
    <t>ESFERA</t>
  </si>
  <si>
    <t>Sabonete Líquido Natura Naturé 250 ml</t>
  </si>
  <si>
    <t>Shampoo 2 em 1 Natura Naturé 250 ml</t>
  </si>
  <si>
    <t>Gillete Mach 3 - 08 Unidades</t>
  </si>
  <si>
    <t>Leite Nanlac Comfor 1 a 3 anos</t>
  </si>
  <si>
    <t>QTD.</t>
  </si>
  <si>
    <t>CANCELADO</t>
  </si>
  <si>
    <t>Status</t>
  </si>
  <si>
    <t>TOTAL DE PONTOS</t>
  </si>
  <si>
    <t>Celular Smartphone</t>
  </si>
  <si>
    <t>Tablet</t>
  </si>
  <si>
    <t>Fralda Huggies Supreme Care XG Roupinha 80</t>
  </si>
  <si>
    <t>TudoAzul</t>
  </si>
  <si>
    <t>Passagens aéreas</t>
  </si>
  <si>
    <t>Gramado - RS</t>
  </si>
  <si>
    <t>Perfume Essencial Masculino</t>
  </si>
  <si>
    <t>CONTROLE DE MILHAS - COMPRAS BONIFICADAS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</si>
</sst>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dd/mm/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7"/>
      <color theme="1"/>
      <name val="Verdana"/>
      <family val="2"/>
    </font>
    <font>
      <sz val="7"/>
      <color theme="1"/>
      <name val="Verdana"/>
      <family val="2"/>
    </font>
    <font>
      <sz val="7"/>
      <color theme="1"/>
      <name val="Calibri"/>
      <family val="2"/>
      <scheme val="minor"/>
    </font>
    <font>
      <b/>
      <u/>
      <sz val="7"/>
      <color theme="1"/>
      <name val="Verdana"/>
      <family val="2"/>
    </font>
    <font>
      <b/>
      <sz val="9"/>
      <color theme="1"/>
      <name val="Calibri"/>
      <family val="2"/>
      <scheme val="minor"/>
    </font>
    <font>
      <b/>
      <sz val="7"/>
      <color rgb="FFFF0000"/>
      <name val="Verdana"/>
      <family val="2"/>
    </font>
    <font>
      <b/>
      <sz val="10"/>
      <color theme="1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center" vertical="center" wrapText="1"/>
    </xf>
    <xf numFmtId="1" fontId="2" fillId="5" borderId="0" xfId="1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right" vertical="center"/>
    </xf>
    <xf numFmtId="1" fontId="5" fillId="5" borderId="5" xfId="1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165" fontId="5" fillId="5" borderId="5" xfId="0" applyNumberFormat="1" applyFont="1" applyFill="1" applyBorder="1" applyAlignment="1">
      <alignment horizontal="center" vertical="center" wrapText="1"/>
    </xf>
    <xf numFmtId="14" fontId="5" fillId="5" borderId="5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right" vertical="center" wrapText="1"/>
    </xf>
    <xf numFmtId="1" fontId="5" fillId="5" borderId="5" xfId="1" applyNumberFormat="1" applyFont="1" applyFill="1" applyBorder="1" applyAlignment="1">
      <alignment horizontal="center" vertical="center" wrapText="1"/>
    </xf>
    <xf numFmtId="16" fontId="4" fillId="6" borderId="6" xfId="0" applyNumberFormat="1" applyFont="1" applyFill="1" applyBorder="1" applyAlignment="1">
      <alignment horizontal="center" vertical="center"/>
    </xf>
    <xf numFmtId="16" fontId="4" fillId="2" borderId="6" xfId="0" applyNumberFormat="1" applyFont="1" applyFill="1" applyBorder="1" applyAlignment="1">
      <alignment horizontal="center" vertical="center"/>
    </xf>
    <xf numFmtId="16" fontId="9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5" borderId="0" xfId="0" applyFill="1"/>
    <xf numFmtId="0" fontId="10" fillId="7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 wrapText="1"/>
    </xf>
    <xf numFmtId="0" fontId="5" fillId="5" borderId="11" xfId="0" applyFont="1" applyFill="1" applyBorder="1" applyAlignment="1">
      <alignment horizontal="center" vertical="center" wrapText="1"/>
    </xf>
    <xf numFmtId="14" fontId="5" fillId="5" borderId="11" xfId="0" applyNumberFormat="1" applyFont="1" applyFill="1" applyBorder="1" applyAlignment="1">
      <alignment horizontal="center" vertical="center" wrapText="1"/>
    </xf>
    <xf numFmtId="164" fontId="5" fillId="5" borderId="11" xfId="0" applyNumberFormat="1" applyFont="1" applyFill="1" applyBorder="1" applyAlignment="1">
      <alignment horizontal="right" vertical="center" wrapText="1"/>
    </xf>
    <xf numFmtId="1" fontId="5" fillId="5" borderId="11" xfId="1" applyNumberFormat="1" applyFont="1" applyFill="1" applyBorder="1" applyAlignment="1">
      <alignment horizontal="center" vertical="center" wrapText="1"/>
    </xf>
    <xf numFmtId="165" fontId="5" fillId="5" borderId="11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 wrapText="1"/>
    </xf>
    <xf numFmtId="14" fontId="5" fillId="5" borderId="14" xfId="0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right" vertical="center"/>
    </xf>
    <xf numFmtId="1" fontId="5" fillId="5" borderId="14" xfId="1" applyNumberFormat="1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165" fontId="5" fillId="5" borderId="14" xfId="0" applyNumberFormat="1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" fontId="5" fillId="4" borderId="14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1" fontId="10" fillId="7" borderId="3" xfId="0" applyNumberFormat="1" applyFont="1" applyFill="1" applyBorder="1" applyAlignment="1">
      <alignment horizontal="center" vertical="center"/>
    </xf>
    <xf numFmtId="1" fontId="10" fillId="7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hoteis.com/" TargetMode="External"/><Relationship Id="rId1" Type="http://schemas.openxmlformats.org/officeDocument/2006/relationships/hyperlink" Target="http://hoteis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98DF-6E13-4379-9D0B-291027EEB6C4}">
  <dimension ref="A1:K31"/>
  <sheetViews>
    <sheetView tabSelected="1" zoomScaleNormal="100" workbookViewId="0">
      <pane xSplit="5" ySplit="10" topLeftCell="F11" activePane="bottomRight" state="frozen"/>
      <selection pane="topRight" activeCell="F1" sqref="F1"/>
      <selection pane="bottomLeft" activeCell="A12" sqref="A12"/>
      <selection pane="bottomRight" sqref="A1:K1"/>
    </sheetView>
  </sheetViews>
  <sheetFormatPr defaultRowHeight="15" x14ac:dyDescent="0.25"/>
  <cols>
    <col min="1" max="1" width="21" style="20" customWidth="1"/>
    <col min="2" max="2" width="30.28515625" style="20" customWidth="1"/>
    <col min="3" max="3" width="10.7109375" style="20" customWidth="1"/>
    <col min="4" max="4" width="10.5703125" style="20" customWidth="1"/>
    <col min="5" max="5" width="12.42578125" style="20" bestFit="1" customWidth="1"/>
    <col min="6" max="6" width="12.7109375" style="20" customWidth="1"/>
    <col min="7" max="7" width="5.7109375" style="20" customWidth="1"/>
    <col min="8" max="8" width="8.7109375" style="20" customWidth="1"/>
    <col min="9" max="9" width="12.42578125" style="20" bestFit="1" customWidth="1"/>
    <col min="10" max="10" width="9.7109375" style="20" customWidth="1"/>
    <col min="11" max="11" width="9.5703125" style="20" bestFit="1" customWidth="1"/>
    <col min="12" max="16384" width="9.140625" style="20"/>
  </cols>
  <sheetData>
    <row r="1" spans="1:11" ht="21" customHeight="1" thickBot="1" x14ac:dyDescent="0.3">
      <c r="A1" s="50" t="s">
        <v>50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4.75" thickBot="1" x14ac:dyDescent="0.3">
      <c r="A2" s="42" t="s">
        <v>0</v>
      </c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39</v>
      </c>
      <c r="H2" s="42" t="s">
        <v>6</v>
      </c>
      <c r="I2" s="42" t="s">
        <v>7</v>
      </c>
      <c r="J2" s="42" t="s">
        <v>8</v>
      </c>
      <c r="K2" s="42" t="s">
        <v>9</v>
      </c>
    </row>
    <row r="3" spans="1:11" x14ac:dyDescent="0.25">
      <c r="A3" s="33" t="s">
        <v>18</v>
      </c>
      <c r="B3" s="34" t="s">
        <v>12</v>
      </c>
      <c r="C3" s="43" t="s">
        <v>10</v>
      </c>
      <c r="D3" s="35">
        <v>45493</v>
      </c>
      <c r="E3" s="36">
        <v>6</v>
      </c>
      <c r="F3" s="37">
        <v>130</v>
      </c>
      <c r="G3" s="38">
        <v>1</v>
      </c>
      <c r="H3" s="47">
        <f t="shared" ref="H3:H21" si="0">(E3*F3)*G3</f>
        <v>780</v>
      </c>
      <c r="I3" s="39">
        <v>30</v>
      </c>
      <c r="J3" s="40">
        <f t="shared" ref="J3:J21" si="1">D3+I3</f>
        <v>45523</v>
      </c>
      <c r="K3" s="41" t="s">
        <v>13</v>
      </c>
    </row>
    <row r="4" spans="1:11" x14ac:dyDescent="0.25">
      <c r="A4" s="24" t="s">
        <v>17</v>
      </c>
      <c r="B4" s="5" t="s">
        <v>19</v>
      </c>
      <c r="C4" s="44" t="s">
        <v>10</v>
      </c>
      <c r="D4" s="7">
        <v>45508</v>
      </c>
      <c r="E4" s="6">
        <v>7</v>
      </c>
      <c r="F4" s="9">
        <v>2300</v>
      </c>
      <c r="G4" s="10">
        <v>1</v>
      </c>
      <c r="H4" s="48">
        <f t="shared" si="0"/>
        <v>16100</v>
      </c>
      <c r="I4" s="11">
        <v>100</v>
      </c>
      <c r="J4" s="12">
        <f t="shared" si="1"/>
        <v>45608</v>
      </c>
      <c r="K4" s="23" t="s">
        <v>13</v>
      </c>
    </row>
    <row r="5" spans="1:11" x14ac:dyDescent="0.25">
      <c r="A5" s="22" t="s">
        <v>23</v>
      </c>
      <c r="B5" s="5" t="s">
        <v>14</v>
      </c>
      <c r="C5" s="44" t="s">
        <v>10</v>
      </c>
      <c r="D5" s="7">
        <v>45517</v>
      </c>
      <c r="E5" s="8">
        <v>15</v>
      </c>
      <c r="F5" s="9">
        <v>503.22</v>
      </c>
      <c r="G5" s="10">
        <v>1</v>
      </c>
      <c r="H5" s="48">
        <f t="shared" si="0"/>
        <v>7548.3</v>
      </c>
      <c r="I5" s="11">
        <v>30</v>
      </c>
      <c r="J5" s="12">
        <f t="shared" si="1"/>
        <v>45547</v>
      </c>
      <c r="K5" s="23" t="s">
        <v>13</v>
      </c>
    </row>
    <row r="6" spans="1:11" x14ac:dyDescent="0.25">
      <c r="A6" s="22" t="s">
        <v>22</v>
      </c>
      <c r="B6" s="5" t="s">
        <v>15</v>
      </c>
      <c r="C6" s="44" t="s">
        <v>10</v>
      </c>
      <c r="D6" s="7">
        <v>45524</v>
      </c>
      <c r="E6" s="6">
        <v>8</v>
      </c>
      <c r="F6" s="9">
        <v>549</v>
      </c>
      <c r="G6" s="10">
        <v>1</v>
      </c>
      <c r="H6" s="48">
        <f t="shared" si="0"/>
        <v>4392</v>
      </c>
      <c r="I6" s="11">
        <v>30</v>
      </c>
      <c r="J6" s="12">
        <f t="shared" si="1"/>
        <v>45554</v>
      </c>
      <c r="K6" s="23" t="s">
        <v>13</v>
      </c>
    </row>
    <row r="7" spans="1:11" x14ac:dyDescent="0.25">
      <c r="A7" s="22" t="s">
        <v>20</v>
      </c>
      <c r="B7" s="5" t="s">
        <v>43</v>
      </c>
      <c r="C7" s="44" t="s">
        <v>10</v>
      </c>
      <c r="D7" s="7">
        <v>45532</v>
      </c>
      <c r="E7" s="6">
        <v>10</v>
      </c>
      <c r="F7" s="9">
        <v>2799</v>
      </c>
      <c r="G7" s="10">
        <v>1</v>
      </c>
      <c r="H7" s="48">
        <f t="shared" si="0"/>
        <v>27990</v>
      </c>
      <c r="I7" s="11">
        <v>45</v>
      </c>
      <c r="J7" s="12">
        <f t="shared" si="1"/>
        <v>45577</v>
      </c>
      <c r="K7" s="23" t="s">
        <v>13</v>
      </c>
    </row>
    <row r="8" spans="1:11" x14ac:dyDescent="0.25">
      <c r="A8" s="22" t="s">
        <v>21</v>
      </c>
      <c r="B8" s="5" t="s">
        <v>16</v>
      </c>
      <c r="C8" s="44" t="s">
        <v>10</v>
      </c>
      <c r="D8" s="7">
        <v>45544</v>
      </c>
      <c r="E8" s="6">
        <v>2</v>
      </c>
      <c r="F8" s="9">
        <v>328.22</v>
      </c>
      <c r="G8" s="10">
        <v>1</v>
      </c>
      <c r="H8" s="48">
        <f t="shared" si="0"/>
        <v>656.44</v>
      </c>
      <c r="I8" s="11">
        <v>30</v>
      </c>
      <c r="J8" s="12">
        <f t="shared" si="1"/>
        <v>45574</v>
      </c>
      <c r="K8" s="23" t="s">
        <v>13</v>
      </c>
    </row>
    <row r="9" spans="1:11" x14ac:dyDescent="0.25">
      <c r="A9" s="22" t="s">
        <v>25</v>
      </c>
      <c r="B9" s="5" t="s">
        <v>36</v>
      </c>
      <c r="C9" s="44" t="s">
        <v>34</v>
      </c>
      <c r="D9" s="7">
        <v>45572</v>
      </c>
      <c r="E9" s="8">
        <v>10</v>
      </c>
      <c r="F9" s="9">
        <v>83.79</v>
      </c>
      <c r="G9" s="10">
        <v>1</v>
      </c>
      <c r="H9" s="48">
        <f t="shared" si="0"/>
        <v>837.90000000000009</v>
      </c>
      <c r="I9" s="11">
        <v>45</v>
      </c>
      <c r="J9" s="12">
        <f t="shared" si="1"/>
        <v>45617</v>
      </c>
      <c r="K9" s="23" t="s">
        <v>13</v>
      </c>
    </row>
    <row r="10" spans="1:11" x14ac:dyDescent="0.25">
      <c r="A10" s="22" t="s">
        <v>25</v>
      </c>
      <c r="B10" s="5" t="s">
        <v>35</v>
      </c>
      <c r="C10" s="44" t="s">
        <v>34</v>
      </c>
      <c r="D10" s="7">
        <v>45572</v>
      </c>
      <c r="E10" s="8">
        <v>10</v>
      </c>
      <c r="F10" s="9">
        <v>27.9</v>
      </c>
      <c r="G10" s="10">
        <v>1</v>
      </c>
      <c r="H10" s="48">
        <f t="shared" si="0"/>
        <v>279</v>
      </c>
      <c r="I10" s="11">
        <v>45</v>
      </c>
      <c r="J10" s="12">
        <f t="shared" si="1"/>
        <v>45617</v>
      </c>
      <c r="K10" s="23" t="s">
        <v>13</v>
      </c>
    </row>
    <row r="11" spans="1:11" x14ac:dyDescent="0.25">
      <c r="A11" s="22" t="s">
        <v>25</v>
      </c>
      <c r="B11" s="5" t="s">
        <v>35</v>
      </c>
      <c r="C11" s="44" t="s">
        <v>10</v>
      </c>
      <c r="D11" s="7">
        <v>45575</v>
      </c>
      <c r="E11" s="8">
        <v>10</v>
      </c>
      <c r="F11" s="9">
        <v>126.57</v>
      </c>
      <c r="G11" s="10">
        <v>1</v>
      </c>
      <c r="H11" s="48">
        <f t="shared" si="0"/>
        <v>1265.6999999999998</v>
      </c>
      <c r="I11" s="11">
        <v>45</v>
      </c>
      <c r="J11" s="12">
        <f t="shared" si="1"/>
        <v>45620</v>
      </c>
      <c r="K11" s="23" t="s">
        <v>13</v>
      </c>
    </row>
    <row r="12" spans="1:11" x14ac:dyDescent="0.25">
      <c r="A12" s="22" t="s">
        <v>18</v>
      </c>
      <c r="B12" s="5" t="s">
        <v>32</v>
      </c>
      <c r="C12" s="44" t="s">
        <v>10</v>
      </c>
      <c r="D12" s="7">
        <v>45625</v>
      </c>
      <c r="E12" s="8">
        <v>18</v>
      </c>
      <c r="F12" s="9">
        <v>44.35</v>
      </c>
      <c r="G12" s="10">
        <v>4</v>
      </c>
      <c r="H12" s="48">
        <f t="shared" si="0"/>
        <v>3193.2000000000003</v>
      </c>
      <c r="I12" s="11">
        <v>30</v>
      </c>
      <c r="J12" s="12">
        <f t="shared" si="1"/>
        <v>45655</v>
      </c>
      <c r="K12" s="23" t="s">
        <v>13</v>
      </c>
    </row>
    <row r="13" spans="1:11" x14ac:dyDescent="0.25">
      <c r="A13" s="22" t="s">
        <v>18</v>
      </c>
      <c r="B13" s="5" t="s">
        <v>38</v>
      </c>
      <c r="C13" s="44" t="s">
        <v>10</v>
      </c>
      <c r="D13" s="7">
        <v>45625</v>
      </c>
      <c r="E13" s="8">
        <v>18</v>
      </c>
      <c r="F13" s="9">
        <v>63</v>
      </c>
      <c r="G13" s="10">
        <v>1</v>
      </c>
      <c r="H13" s="48">
        <f t="shared" si="0"/>
        <v>1134</v>
      </c>
      <c r="I13" s="11">
        <v>30</v>
      </c>
      <c r="J13" s="12">
        <f t="shared" si="1"/>
        <v>45655</v>
      </c>
      <c r="K13" s="23" t="s">
        <v>13</v>
      </c>
    </row>
    <row r="14" spans="1:11" x14ac:dyDescent="0.25">
      <c r="A14" s="24" t="s">
        <v>17</v>
      </c>
      <c r="B14" s="5" t="s">
        <v>48</v>
      </c>
      <c r="C14" s="44" t="s">
        <v>10</v>
      </c>
      <c r="D14" s="7">
        <v>45655</v>
      </c>
      <c r="E14" s="8">
        <v>7</v>
      </c>
      <c r="F14" s="9">
        <v>7000</v>
      </c>
      <c r="G14" s="10">
        <v>1</v>
      </c>
      <c r="H14" s="48">
        <f t="shared" si="0"/>
        <v>49000</v>
      </c>
      <c r="I14" s="11">
        <v>100</v>
      </c>
      <c r="J14" s="12">
        <f t="shared" si="1"/>
        <v>45755</v>
      </c>
      <c r="K14" s="23" t="s">
        <v>13</v>
      </c>
    </row>
    <row r="15" spans="1:11" x14ac:dyDescent="0.25">
      <c r="A15" s="22" t="s">
        <v>24</v>
      </c>
      <c r="B15" s="5" t="s">
        <v>30</v>
      </c>
      <c r="C15" s="44" t="s">
        <v>10</v>
      </c>
      <c r="D15" s="13">
        <v>45676</v>
      </c>
      <c r="E15" s="11">
        <v>12</v>
      </c>
      <c r="F15" s="14">
        <v>115</v>
      </c>
      <c r="G15" s="15">
        <v>1</v>
      </c>
      <c r="H15" s="48">
        <f t="shared" si="0"/>
        <v>1380</v>
      </c>
      <c r="I15" s="11">
        <v>30</v>
      </c>
      <c r="J15" s="12">
        <f t="shared" si="1"/>
        <v>45706</v>
      </c>
      <c r="K15" s="23" t="s">
        <v>13</v>
      </c>
    </row>
    <row r="16" spans="1:11" x14ac:dyDescent="0.25">
      <c r="A16" s="22" t="s">
        <v>25</v>
      </c>
      <c r="B16" s="5" t="s">
        <v>26</v>
      </c>
      <c r="C16" s="44" t="s">
        <v>10</v>
      </c>
      <c r="D16" s="13">
        <v>45683</v>
      </c>
      <c r="E16" s="11">
        <v>10</v>
      </c>
      <c r="F16" s="14">
        <v>40</v>
      </c>
      <c r="G16" s="15">
        <v>1</v>
      </c>
      <c r="H16" s="48">
        <f t="shared" si="0"/>
        <v>400</v>
      </c>
      <c r="I16" s="11">
        <v>30</v>
      </c>
      <c r="J16" s="12">
        <f t="shared" si="1"/>
        <v>45713</v>
      </c>
      <c r="K16" s="23" t="s">
        <v>13</v>
      </c>
    </row>
    <row r="17" spans="1:11" x14ac:dyDescent="0.25">
      <c r="A17" s="22" t="s">
        <v>27</v>
      </c>
      <c r="B17" s="5" t="s">
        <v>44</v>
      </c>
      <c r="C17" s="44" t="s">
        <v>31</v>
      </c>
      <c r="D17" s="13">
        <v>45691</v>
      </c>
      <c r="E17" s="11">
        <v>15</v>
      </c>
      <c r="F17" s="14">
        <v>720</v>
      </c>
      <c r="G17" s="15">
        <v>1</v>
      </c>
      <c r="H17" s="48">
        <f t="shared" si="0"/>
        <v>10800</v>
      </c>
      <c r="I17" s="11">
        <v>45</v>
      </c>
      <c r="J17" s="12">
        <f t="shared" si="1"/>
        <v>45736</v>
      </c>
      <c r="K17" s="23" t="s">
        <v>13</v>
      </c>
    </row>
    <row r="18" spans="1:11" x14ac:dyDescent="0.25">
      <c r="A18" s="22" t="s">
        <v>28</v>
      </c>
      <c r="B18" s="5" t="s">
        <v>29</v>
      </c>
      <c r="C18" s="44" t="s">
        <v>10</v>
      </c>
      <c r="D18" s="13">
        <v>45781</v>
      </c>
      <c r="E18" s="11">
        <v>20</v>
      </c>
      <c r="F18" s="14">
        <v>170</v>
      </c>
      <c r="G18" s="15">
        <v>1</v>
      </c>
      <c r="H18" s="48">
        <f t="shared" si="0"/>
        <v>3400</v>
      </c>
      <c r="I18" s="11">
        <v>30</v>
      </c>
      <c r="J18" s="12">
        <f t="shared" si="1"/>
        <v>45811</v>
      </c>
      <c r="K18" s="23" t="s">
        <v>13</v>
      </c>
    </row>
    <row r="19" spans="1:11" x14ac:dyDescent="0.25">
      <c r="A19" s="22" t="s">
        <v>33</v>
      </c>
      <c r="B19" s="5" t="s">
        <v>37</v>
      </c>
      <c r="C19" s="44" t="s">
        <v>10</v>
      </c>
      <c r="D19" s="7">
        <v>45942</v>
      </c>
      <c r="E19" s="8">
        <v>5</v>
      </c>
      <c r="F19" s="9">
        <v>54.9</v>
      </c>
      <c r="G19" s="10">
        <v>1</v>
      </c>
      <c r="H19" s="48">
        <f t="shared" si="0"/>
        <v>274.5</v>
      </c>
      <c r="I19" s="11">
        <v>30</v>
      </c>
      <c r="J19" s="12">
        <f t="shared" si="1"/>
        <v>45972</v>
      </c>
      <c r="K19" s="23" t="s">
        <v>11</v>
      </c>
    </row>
    <row r="20" spans="1:11" x14ac:dyDescent="0.25">
      <c r="A20" s="22" t="s">
        <v>33</v>
      </c>
      <c r="B20" s="5" t="s">
        <v>32</v>
      </c>
      <c r="C20" s="44" t="s">
        <v>10</v>
      </c>
      <c r="D20" s="7">
        <v>45953</v>
      </c>
      <c r="E20" s="8">
        <v>5</v>
      </c>
      <c r="F20" s="9">
        <v>48.44</v>
      </c>
      <c r="G20" s="10">
        <v>1</v>
      </c>
      <c r="H20" s="48">
        <f t="shared" si="0"/>
        <v>242.2</v>
      </c>
      <c r="I20" s="11">
        <v>30</v>
      </c>
      <c r="J20" s="12">
        <f t="shared" si="1"/>
        <v>45983</v>
      </c>
      <c r="K20" s="23" t="s">
        <v>11</v>
      </c>
    </row>
    <row r="21" spans="1:11" x14ac:dyDescent="0.25">
      <c r="A21" s="22" t="s">
        <v>33</v>
      </c>
      <c r="B21" s="5" t="s">
        <v>45</v>
      </c>
      <c r="C21" s="44" t="s">
        <v>10</v>
      </c>
      <c r="D21" s="7">
        <v>45953</v>
      </c>
      <c r="E21" s="8">
        <v>5</v>
      </c>
      <c r="F21" s="9">
        <v>110</v>
      </c>
      <c r="G21" s="10">
        <v>1</v>
      </c>
      <c r="H21" s="48">
        <f t="shared" si="0"/>
        <v>550</v>
      </c>
      <c r="I21" s="11">
        <v>30</v>
      </c>
      <c r="J21" s="12">
        <f t="shared" si="1"/>
        <v>45983</v>
      </c>
      <c r="K21" s="23" t="s">
        <v>11</v>
      </c>
    </row>
    <row r="22" spans="1:11" x14ac:dyDescent="0.25">
      <c r="A22" s="22" t="s">
        <v>46</v>
      </c>
      <c r="B22" s="5" t="s">
        <v>47</v>
      </c>
      <c r="C22" s="44" t="s">
        <v>31</v>
      </c>
      <c r="D22" s="13"/>
      <c r="E22" s="11"/>
      <c r="F22" s="14">
        <v>400</v>
      </c>
      <c r="G22" s="15"/>
      <c r="H22" s="48">
        <f t="shared" ref="H22:H29" si="2">(E22*F22)*G22</f>
        <v>0</v>
      </c>
      <c r="I22" s="11"/>
      <c r="J22" s="12">
        <f>D22+I22</f>
        <v>0</v>
      </c>
      <c r="K22" s="23" t="s">
        <v>40</v>
      </c>
    </row>
    <row r="23" spans="1:11" x14ac:dyDescent="0.25">
      <c r="A23" s="22" t="s">
        <v>25</v>
      </c>
      <c r="B23" s="5" t="s">
        <v>49</v>
      </c>
      <c r="C23" s="44" t="s">
        <v>34</v>
      </c>
      <c r="D23" s="13">
        <v>45966</v>
      </c>
      <c r="E23" s="11">
        <v>15</v>
      </c>
      <c r="F23" s="14">
        <v>179.9</v>
      </c>
      <c r="G23" s="15">
        <v>1</v>
      </c>
      <c r="H23" s="48">
        <f t="shared" si="2"/>
        <v>2698.5</v>
      </c>
      <c r="I23" s="11">
        <v>45</v>
      </c>
      <c r="J23" s="12">
        <f>D23+I23</f>
        <v>46011</v>
      </c>
      <c r="K23" s="23" t="s">
        <v>11</v>
      </c>
    </row>
    <row r="24" spans="1:11" x14ac:dyDescent="0.25">
      <c r="A24" s="22"/>
      <c r="B24" s="5"/>
      <c r="C24" s="44"/>
      <c r="D24" s="13"/>
      <c r="E24" s="11"/>
      <c r="F24" s="14"/>
      <c r="G24" s="15"/>
      <c r="H24" s="48">
        <f t="shared" si="2"/>
        <v>0</v>
      </c>
      <c r="I24" s="11"/>
      <c r="J24" s="12">
        <f t="shared" ref="J24:J29" si="3">D24+I24</f>
        <v>0</v>
      </c>
      <c r="K24" s="23"/>
    </row>
    <row r="25" spans="1:11" x14ac:dyDescent="0.25">
      <c r="A25" s="22"/>
      <c r="B25" s="5"/>
      <c r="C25" s="44"/>
      <c r="D25" s="13"/>
      <c r="E25" s="11"/>
      <c r="F25" s="14"/>
      <c r="G25" s="15"/>
      <c r="H25" s="48">
        <f t="shared" si="2"/>
        <v>0</v>
      </c>
      <c r="I25" s="11"/>
      <c r="J25" s="12">
        <f t="shared" si="3"/>
        <v>0</v>
      </c>
      <c r="K25" s="23"/>
    </row>
    <row r="26" spans="1:11" x14ac:dyDescent="0.25">
      <c r="A26" s="22"/>
      <c r="B26" s="5"/>
      <c r="C26" s="44"/>
      <c r="D26" s="13"/>
      <c r="E26" s="11"/>
      <c r="F26" s="14"/>
      <c r="G26" s="15"/>
      <c r="H26" s="48">
        <f t="shared" si="2"/>
        <v>0</v>
      </c>
      <c r="I26" s="11"/>
      <c r="J26" s="12">
        <f t="shared" si="3"/>
        <v>0</v>
      </c>
      <c r="K26" s="23"/>
    </row>
    <row r="27" spans="1:11" x14ac:dyDescent="0.25">
      <c r="A27" s="22"/>
      <c r="B27" s="5"/>
      <c r="C27" s="44"/>
      <c r="D27" s="13"/>
      <c r="E27" s="11"/>
      <c r="F27" s="14"/>
      <c r="G27" s="15"/>
      <c r="H27" s="48">
        <f t="shared" si="2"/>
        <v>0</v>
      </c>
      <c r="I27" s="11"/>
      <c r="J27" s="12">
        <f t="shared" si="3"/>
        <v>0</v>
      </c>
      <c r="K27" s="23"/>
    </row>
    <row r="28" spans="1:11" x14ac:dyDescent="0.25">
      <c r="A28" s="22"/>
      <c r="B28" s="5"/>
      <c r="C28" s="45"/>
      <c r="D28" s="13"/>
      <c r="E28" s="11"/>
      <c r="F28" s="14"/>
      <c r="G28" s="15"/>
      <c r="H28" s="48">
        <f t="shared" si="2"/>
        <v>0</v>
      </c>
      <c r="I28" s="11"/>
      <c r="J28" s="12">
        <f t="shared" si="3"/>
        <v>0</v>
      </c>
      <c r="K28" s="23"/>
    </row>
    <row r="29" spans="1:11" ht="15.75" thickBot="1" x14ac:dyDescent="0.3">
      <c r="A29" s="25"/>
      <c r="B29" s="26"/>
      <c r="C29" s="46"/>
      <c r="D29" s="28"/>
      <c r="E29" s="27"/>
      <c r="F29" s="29"/>
      <c r="G29" s="30"/>
      <c r="H29" s="49">
        <f t="shared" si="2"/>
        <v>0</v>
      </c>
      <c r="I29" s="27"/>
      <c r="J29" s="31">
        <f t="shared" si="3"/>
        <v>0</v>
      </c>
      <c r="K29" s="32"/>
    </row>
    <row r="30" spans="1:11" ht="15.75" thickBot="1" x14ac:dyDescent="0.3">
      <c r="A30" s="1"/>
      <c r="B30" s="2"/>
      <c r="C30" s="2"/>
      <c r="D30" s="2"/>
      <c r="E30" s="2"/>
      <c r="F30" s="2"/>
      <c r="G30" s="3"/>
      <c r="H30" s="2"/>
      <c r="I30" s="2"/>
      <c r="J30" s="2"/>
      <c r="K30" s="4"/>
    </row>
    <row r="31" spans="1:11" ht="21" customHeight="1" thickBot="1" x14ac:dyDescent="0.3">
      <c r="A31" s="21" t="s">
        <v>42</v>
      </c>
      <c r="B31" s="51">
        <f>SUM(H3:H29)</f>
        <v>132921.74</v>
      </c>
      <c r="C31" s="52"/>
      <c r="D31" s="52"/>
      <c r="E31" s="52"/>
      <c r="F31" s="52"/>
      <c r="G31" s="52"/>
      <c r="H31" s="52"/>
      <c r="I31" s="52"/>
      <c r="J31" s="52"/>
      <c r="K31" s="53"/>
    </row>
  </sheetData>
  <sortState xmlns:xlrd2="http://schemas.microsoft.com/office/spreadsheetml/2017/richdata2" ref="A3:K21">
    <sortCondition ref="D3:D21"/>
  </sortState>
  <mergeCells count="2">
    <mergeCell ref="A1:K1"/>
    <mergeCell ref="B31:K31"/>
  </mergeCells>
  <conditionalFormatting sqref="K3">
    <cfRule type="colorScale" priority="5">
      <colorScale>
        <cfvo type="formula" val="&quot;CANCELADO&quot;"/>
        <cfvo type="formula" val="&quot;A RECEBER&quot;"/>
        <cfvo type="formula" val="&quot;RECEBIDO&quot;"/>
        <color rgb="FFF8696B"/>
        <color rgb="FFFFEB84"/>
        <color rgb="FF63BE7B"/>
      </colorScale>
    </cfRule>
  </conditionalFormatting>
  <conditionalFormatting sqref="K3:K29">
    <cfRule type="containsText" dxfId="3" priority="1" operator="containsText" text="A RECEBER">
      <formula>NOT(ISERROR(SEARCH("A RECEBER",K3)))</formula>
    </cfRule>
    <cfRule type="containsText" dxfId="2" priority="2" operator="containsText" text="RECEBIDO">
      <formula>NOT(ISERROR(SEARCH("RECEBIDO",K3)))</formula>
    </cfRule>
    <cfRule type="containsText" dxfId="1" priority="3" operator="containsText" text="CANCELADO">
      <formula>NOT(ISERROR(SEARCH("CANCELADO",K3)))</formula>
    </cfRule>
    <cfRule type="containsText" dxfId="0" priority="4" operator="containsText" text="CANCELADO">
      <formula>NOT(ISERROR(SEARCH("CANCELADO",K3)))</formula>
    </cfRule>
  </conditionalFormatting>
  <hyperlinks>
    <hyperlink ref="A14" r:id="rId1" display="HOTEIS.COM" xr:uid="{D39ADE79-1A4E-48CF-A39C-36AE380C8D28}"/>
    <hyperlink ref="A4" r:id="rId2" display="HOTEIS.COM" xr:uid="{F1AD6F5F-EF7A-45A9-B998-D9391AEC6DB2}"/>
  </hyperlinks>
  <printOptions horizontalCentered="1" verticalCentered="1"/>
  <pageMargins left="0.19685039370078741" right="0.19685039370078741" top="1.1811023622047245" bottom="0.39370078740157483" header="0.11811023622047245" footer="0.11811023622047245"/>
  <pageSetup paperSize="9" orientation="landscape" horizontalDpi="0" verticalDpi="0" r:id="rId3"/>
  <headerFooter>
    <oddHeader>&amp;C&amp;G</oddHeader>
  </headerFooter>
  <legacyDrawing r:id="rId4"/>
  <legacyDrawingHF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1B6937-62F3-4810-B929-82E8D5979CA0}">
          <x14:formula1>
            <xm:f>Dados!$A$2:$A$4</xm:f>
          </x14:formula1>
          <xm:sqref>K3:K29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F629-1323-400B-9972-45ED977E640B}">
  <dimension ref="A1:A4"/>
  <sheetViews>
    <sheetView workbookViewId="0">
      <selection activeCell="A2" sqref="A2:A4"/>
    </sheetView>
  </sheetViews>
  <sheetFormatPr defaultRowHeight="15" x14ac:dyDescent="0.25"/>
  <cols>
    <col min="1" max="1" width="11.140625" bestFit="1" customWidth="1"/>
  </cols>
  <sheetData>
    <row r="1" spans="1:1" x14ac:dyDescent="0.25">
      <c r="A1" s="19" t="s">
        <v>41</v>
      </c>
    </row>
    <row r="2" spans="1:1" x14ac:dyDescent="0.25">
      <c r="A2" s="16" t="s">
        <v>11</v>
      </c>
    </row>
    <row r="3" spans="1:1" x14ac:dyDescent="0.25">
      <c r="A3" s="17" t="s">
        <v>13</v>
      </c>
    </row>
    <row r="4" spans="1:1" x14ac:dyDescent="0.25">
      <c r="A4" s="18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Compra Bonificada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Figueiredo de Mattos</dc:creator>
  <cp:lastModifiedBy>Emerson Figueiredo de Mattos</cp:lastModifiedBy>
  <cp:lastPrinted>2025-11-04T14:27:02Z</cp:lastPrinted>
  <dcterms:created xsi:type="dcterms:W3CDTF">2024-09-12T15:37:08Z</dcterms:created>
  <dcterms:modified xsi:type="dcterms:W3CDTF">2025-11-12T20:17:14Z</dcterms:modified>
</cp:coreProperties>
</file>